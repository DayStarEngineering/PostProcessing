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56" windowHeight="12588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24" i="1" l="1"/>
  <c r="E23" i="1"/>
  <c r="E22" i="1"/>
  <c r="E21" i="1"/>
  <c r="C23" i="1"/>
  <c r="C24" i="1"/>
  <c r="E20" i="1"/>
  <c r="E19" i="1"/>
  <c r="E18" i="1"/>
  <c r="E15" i="1"/>
  <c r="E16" i="1"/>
  <c r="E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E14" i="1"/>
  <c r="E13" i="1"/>
  <c r="E12" i="1"/>
  <c r="E11" i="1"/>
  <c r="D11" i="1"/>
  <c r="E10" i="1"/>
  <c r="E3" i="1"/>
  <c r="E4" i="1"/>
  <c r="E5" i="1"/>
  <c r="E6" i="1"/>
  <c r="E7" i="1"/>
  <c r="E8" i="1"/>
  <c r="E9" i="1"/>
  <c r="E2" i="1"/>
  <c r="D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<sst xmlns="http://schemas.openxmlformats.org/spreadsheetml/2006/main" count="15" uniqueCount="13">
  <si>
    <t>Image Number</t>
  </si>
  <si>
    <t>Time</t>
  </si>
  <si>
    <t>Temp (degrees C)</t>
  </si>
  <si>
    <t>Temp (degrees F)</t>
  </si>
  <si>
    <t>Time Since Start (min)</t>
  </si>
  <si>
    <t>Comments</t>
  </si>
  <si>
    <t>Board is now sitting directly atop ice</t>
  </si>
  <si>
    <t>Control</t>
  </si>
  <si>
    <t>Turned off for a long time</t>
  </si>
  <si>
    <t>Temperature</t>
  </si>
  <si>
    <t>Top Voltage (mV)</t>
  </si>
  <si>
    <t>Bottom Voltage (mV)</t>
  </si>
  <si>
    <t>Bottom was about 1.5 degrees cooler the whole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</si>
</sst>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1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C37" sqref="C37"/>
    </sheetView>
  </sheetViews>
  <sheetFormatPr defaultRowHeight="14.4" x14ac:dyDescent="0.3"/>
  <cols>
    <col min="1" max="1" width="16.5546875" customWidth="1"/>
    <col min="2" max="2" width="10.33203125" customWidth="1"/>
    <col min="3" max="4" width="22.5546875" customWidth="1"/>
    <col min="5" max="5" width="19.5546875" customWidth="1"/>
    <col min="6" max="6" width="36.33203125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</row>
    <row r="2" spans="1:6" x14ac:dyDescent="0.25">
      <c r="A2">
        <v>1</v>
      </c>
      <c r="B2" s="2">
        <v>0.52847222222222223</v>
      </c>
      <c r="C2" s="2">
        <f>B2-$B$2</f>
        <v>0</v>
      </c>
      <c r="D2">
        <v>37.4</v>
      </c>
      <c r="E2">
        <f>D2*1.8 + 32</f>
        <v>99.32</v>
      </c>
      <c r="F2" t="s">
        <v>7</v>
      </c>
    </row>
    <row r="3" spans="1:6" x14ac:dyDescent="0.25">
      <c r="A3">
        <v>2</v>
      </c>
      <c r="B3" s="3">
        <v>0.52986111111111112</v>
      </c>
      <c r="C3" s="2">
        <f t="shared" ref="C3:C17" si="0">B3-$B$2</f>
        <v>1.388888888888884E-3</v>
      </c>
      <c r="D3">
        <v>37.200000000000003</v>
      </c>
      <c r="E3">
        <f t="shared" ref="E3:E24" si="1">D3*1.8 + 32</f>
        <v>98.960000000000008</v>
      </c>
      <c r="F3" t="s">
        <v>7</v>
      </c>
    </row>
    <row r="4" spans="1:6" x14ac:dyDescent="0.25">
      <c r="A4">
        <v>3</v>
      </c>
      <c r="B4" s="3">
        <v>0.53125</v>
      </c>
      <c r="C4" s="2">
        <f t="shared" si="0"/>
        <v>2.7777777777777679E-3</v>
      </c>
      <c r="D4">
        <v>30.2</v>
      </c>
      <c r="E4">
        <f t="shared" si="1"/>
        <v>86.36</v>
      </c>
    </row>
    <row r="5" spans="1:6" x14ac:dyDescent="0.25">
      <c r="A5">
        <v>4</v>
      </c>
      <c r="B5" s="3">
        <v>0.53194444444444444</v>
      </c>
      <c r="C5" s="2">
        <f t="shared" si="0"/>
        <v>3.4722222222222099E-3</v>
      </c>
      <c r="D5">
        <v>28.8</v>
      </c>
      <c r="E5">
        <f t="shared" si="1"/>
        <v>83.84</v>
      </c>
    </row>
    <row r="6" spans="1:6" x14ac:dyDescent="0.25">
      <c r="A6">
        <v>5</v>
      </c>
      <c r="B6" s="3">
        <v>0.53333333333333333</v>
      </c>
      <c r="C6" s="2">
        <f t="shared" si="0"/>
        <v>4.8611111111110938E-3</v>
      </c>
      <c r="D6">
        <v>28.8</v>
      </c>
      <c r="E6">
        <f t="shared" si="1"/>
        <v>83.84</v>
      </c>
    </row>
    <row r="7" spans="1:6" x14ac:dyDescent="0.25">
      <c r="A7">
        <v>6</v>
      </c>
      <c r="B7" s="3">
        <v>0.53472222222222221</v>
      </c>
      <c r="C7" s="2">
        <f t="shared" si="0"/>
        <v>6.2499999999999778E-3</v>
      </c>
      <c r="D7">
        <f>24.8</f>
        <v>24.8</v>
      </c>
      <c r="E7">
        <f t="shared" si="1"/>
        <v>76.64</v>
      </c>
    </row>
    <row r="8" spans="1:6" x14ac:dyDescent="0.25">
      <c r="A8">
        <v>7</v>
      </c>
      <c r="B8" s="3">
        <v>0.53611111111111109</v>
      </c>
      <c r="C8" s="2">
        <f t="shared" si="0"/>
        <v>7.6388888888888618E-3</v>
      </c>
      <c r="D8">
        <v>23.8</v>
      </c>
      <c r="E8">
        <f t="shared" si="1"/>
        <v>74.84</v>
      </c>
    </row>
    <row r="9" spans="1:6" x14ac:dyDescent="0.25">
      <c r="A9">
        <v>8</v>
      </c>
      <c r="B9" s="3">
        <v>0.53680555555555554</v>
      </c>
      <c r="C9" s="2">
        <f t="shared" si="0"/>
        <v>8.3333333333333037E-3</v>
      </c>
      <c r="D9">
        <v>22.4</v>
      </c>
      <c r="E9">
        <f t="shared" si="1"/>
        <v>72.319999999999993</v>
      </c>
    </row>
    <row r="10" spans="1:6" x14ac:dyDescent="0.25">
      <c r="A10">
        <v>9</v>
      </c>
      <c r="B10" s="3">
        <v>0.53819444444444442</v>
      </c>
      <c r="C10" s="2">
        <f t="shared" si="0"/>
        <v>9.7222222222221877E-3</v>
      </c>
      <c r="D10">
        <v>21.4</v>
      </c>
      <c r="E10">
        <f t="shared" si="1"/>
        <v>70.52</v>
      </c>
    </row>
    <row r="11" spans="1:6" x14ac:dyDescent="0.25">
      <c r="A11">
        <v>10</v>
      </c>
      <c r="B11" s="3">
        <v>0.5395833333333333</v>
      </c>
      <c r="C11" s="2">
        <f t="shared" si="0"/>
        <v>1.1111111111111072E-2</v>
      </c>
      <c r="D11">
        <f>19.6</f>
        <v>19.600000000000001</v>
      </c>
      <c r="E11">
        <f t="shared" si="1"/>
        <v>67.28</v>
      </c>
      <c r="F11" t="s">
        <v>6</v>
      </c>
    </row>
    <row r="12" spans="1:6" x14ac:dyDescent="0.25">
      <c r="A12">
        <v>11</v>
      </c>
      <c r="B12" s="3">
        <v>0.54027777777777775</v>
      </c>
      <c r="C12" s="2">
        <f t="shared" si="0"/>
        <v>1.1805555555555514E-2</v>
      </c>
      <c r="D12">
        <v>17.2</v>
      </c>
      <c r="E12">
        <f t="shared" si="1"/>
        <v>62.96</v>
      </c>
    </row>
    <row r="13" spans="1:6" x14ac:dyDescent="0.25">
      <c r="A13">
        <v>12</v>
      </c>
      <c r="B13" s="3">
        <v>0.54236111111111118</v>
      </c>
      <c r="C13" s="2">
        <f t="shared" si="0"/>
        <v>1.3888888888888951E-2</v>
      </c>
      <c r="D13">
        <v>15.8</v>
      </c>
      <c r="E13">
        <f t="shared" si="1"/>
        <v>60.44</v>
      </c>
    </row>
    <row r="14" spans="1:6" x14ac:dyDescent="0.25">
      <c r="A14">
        <v>13</v>
      </c>
      <c r="B14" s="4">
        <v>0.54375000000000007</v>
      </c>
      <c r="C14" s="2">
        <f t="shared" si="0"/>
        <v>1.5277777777777835E-2</v>
      </c>
      <c r="D14">
        <v>13.4</v>
      </c>
      <c r="E14">
        <f t="shared" si="1"/>
        <v>56.120000000000005</v>
      </c>
    </row>
    <row r="15" spans="1:6" x14ac:dyDescent="0.25">
      <c r="A15">
        <v>14</v>
      </c>
      <c r="B15" s="4">
        <v>0.54513888888888895</v>
      </c>
      <c r="C15" s="2">
        <f t="shared" si="0"/>
        <v>1.6666666666666718E-2</v>
      </c>
      <c r="D15">
        <v>11.8</v>
      </c>
      <c r="E15">
        <f t="shared" si="1"/>
        <v>53.24</v>
      </c>
    </row>
    <row r="16" spans="1:6" x14ac:dyDescent="0.25">
      <c r="A16">
        <v>15</v>
      </c>
      <c r="B16" s="4">
        <v>0.54652777777777783</v>
      </c>
      <c r="C16" s="2">
        <f t="shared" si="0"/>
        <v>1.8055555555555602E-2</v>
      </c>
      <c r="D16">
        <v>10.6</v>
      </c>
      <c r="E16">
        <f t="shared" si="1"/>
        <v>51.08</v>
      </c>
    </row>
    <row r="17" spans="1:6" x14ac:dyDescent="0.25">
      <c r="A17">
        <v>16</v>
      </c>
      <c r="B17" s="4">
        <v>0.54999999999999993</v>
      </c>
      <c r="C17" s="2">
        <f t="shared" si="0"/>
        <v>2.1527777777777701E-2</v>
      </c>
      <c r="D17">
        <v>9.6</v>
      </c>
      <c r="E17">
        <f t="shared" si="1"/>
        <v>49.28</v>
      </c>
    </row>
    <row r="18" spans="1:6" x14ac:dyDescent="0.25">
      <c r="A18">
        <v>17</v>
      </c>
      <c r="B18" s="3">
        <v>0.55208333333333337</v>
      </c>
      <c r="C18" s="2">
        <f t="shared" ref="C18:C24" si="2">B18-$B$2</f>
        <v>2.3611111111111138E-2</v>
      </c>
      <c r="D18">
        <v>11.8</v>
      </c>
      <c r="E18">
        <f t="shared" si="1"/>
        <v>53.24</v>
      </c>
    </row>
    <row r="19" spans="1:6" x14ac:dyDescent="0.25">
      <c r="A19">
        <v>18</v>
      </c>
      <c r="B19" s="3">
        <v>0.5541666666666667</v>
      </c>
      <c r="C19" s="2">
        <f t="shared" si="2"/>
        <v>2.5694444444444464E-2</v>
      </c>
      <c r="D19">
        <v>10.8</v>
      </c>
      <c r="E19">
        <f t="shared" si="1"/>
        <v>51.44</v>
      </c>
    </row>
    <row r="20" spans="1:6" x14ac:dyDescent="0.25">
      <c r="A20">
        <v>19</v>
      </c>
      <c r="B20" s="3">
        <v>0.55694444444444446</v>
      </c>
      <c r="C20" s="2">
        <f t="shared" si="2"/>
        <v>2.8472222222222232E-2</v>
      </c>
      <c r="D20">
        <v>9.8000000000000007</v>
      </c>
      <c r="E20">
        <f t="shared" si="1"/>
        <v>49.64</v>
      </c>
    </row>
    <row r="21" spans="1:6" x14ac:dyDescent="0.25">
      <c r="A21">
        <v>20</v>
      </c>
      <c r="B21" s="3">
        <v>0.55972222222222223</v>
      </c>
      <c r="C21" s="2">
        <f t="shared" si="2"/>
        <v>3.125E-2</v>
      </c>
      <c r="D21">
        <v>10</v>
      </c>
      <c r="E21">
        <f t="shared" si="1"/>
        <v>50</v>
      </c>
    </row>
    <row r="22" spans="1:6" x14ac:dyDescent="0.25">
      <c r="A22">
        <v>21</v>
      </c>
      <c r="B22" s="3">
        <v>0.57222222222222219</v>
      </c>
      <c r="C22" s="2">
        <f t="shared" si="2"/>
        <v>4.3749999999999956E-2</v>
      </c>
      <c r="D22">
        <v>4.8</v>
      </c>
      <c r="E22">
        <f t="shared" si="1"/>
        <v>40.64</v>
      </c>
      <c r="F22" t="s">
        <v>8</v>
      </c>
    </row>
    <row r="23" spans="1:6" x14ac:dyDescent="0.25">
      <c r="A23">
        <v>22</v>
      </c>
      <c r="B23" s="3">
        <v>0.57361111111111118</v>
      </c>
      <c r="C23" s="2">
        <f t="shared" si="2"/>
        <v>4.5138888888888951E-2</v>
      </c>
      <c r="D23">
        <v>0.2</v>
      </c>
      <c r="E23">
        <f t="shared" si="1"/>
        <v>32.36</v>
      </c>
    </row>
    <row r="24" spans="1:6" x14ac:dyDescent="0.25">
      <c r="A24">
        <v>23</v>
      </c>
      <c r="B24" s="3">
        <v>0.57708333333333328</v>
      </c>
      <c r="C24" s="2">
        <f t="shared" si="2"/>
        <v>4.8611111111111049E-2</v>
      </c>
      <c r="D24">
        <v>-2</v>
      </c>
      <c r="E24">
        <f t="shared" si="1"/>
        <v>28.4</v>
      </c>
    </row>
    <row r="25" spans="1:6" x14ac:dyDescent="0.25">
      <c r="C25" s="2"/>
    </row>
    <row r="26" spans="1:6" x14ac:dyDescent="0.25">
      <c r="C26" s="2"/>
    </row>
    <row r="27" spans="1:6" x14ac:dyDescent="0.25">
      <c r="C27" s="2"/>
    </row>
    <row r="28" spans="1:6" x14ac:dyDescent="0.25">
      <c r="C28" s="2"/>
    </row>
    <row r="29" spans="1:6" x14ac:dyDescent="0.25">
      <c r="C29" s="2"/>
    </row>
    <row r="30" spans="1:6" x14ac:dyDescent="0.25">
      <c r="C30" s="2"/>
    </row>
    <row r="31" spans="1:6" x14ac:dyDescent="0.25">
      <c r="C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A14" sqref="A14"/>
    </sheetView>
  </sheetViews>
  <sheetFormatPr defaultRowHeight="14.4" x14ac:dyDescent="0.3"/>
  <cols>
    <col min="2" max="2" width="20.88671875" customWidth="1"/>
    <col min="3" max="3" width="23.109375" customWidth="1"/>
    <col min="4" max="4" width="15.44140625" customWidth="1"/>
  </cols>
  <sheetData>
    <row r="1" spans="1:4" x14ac:dyDescent="0.25">
      <c r="A1" s="1" t="s">
        <v>1</v>
      </c>
      <c r="B1" s="1" t="s">
        <v>10</v>
      </c>
      <c r="C1" s="1" t="s">
        <v>11</v>
      </c>
      <c r="D1" s="1" t="s">
        <v>9</v>
      </c>
    </row>
    <row r="2" spans="1:4" x14ac:dyDescent="0.25">
      <c r="B2">
        <v>2.0190000000000001</v>
      </c>
      <c r="C2">
        <v>1.948</v>
      </c>
      <c r="D2">
        <v>20.8</v>
      </c>
    </row>
    <row r="3" spans="1:4" x14ac:dyDescent="0.25">
      <c r="B3">
        <v>2.0299999999999998</v>
      </c>
      <c r="C3">
        <v>1.9650000000000001</v>
      </c>
      <c r="D3">
        <v>22.8</v>
      </c>
    </row>
    <row r="4" spans="1:4" x14ac:dyDescent="0.25">
      <c r="B4">
        <v>2.0390000000000001</v>
      </c>
      <c r="C4">
        <v>1.972</v>
      </c>
      <c r="D4">
        <v>23.2</v>
      </c>
    </row>
    <row r="5" spans="1:4" x14ac:dyDescent="0.25">
      <c r="B5">
        <v>2.0449999999999999</v>
      </c>
      <c r="C5">
        <v>1.9810000000000001</v>
      </c>
      <c r="D5">
        <v>23.8</v>
      </c>
    </row>
    <row r="6" spans="1:4" x14ac:dyDescent="0.25">
      <c r="B6">
        <v>2.0499999999999998</v>
      </c>
      <c r="C6">
        <v>1.9850000000000001</v>
      </c>
      <c r="D6">
        <v>24.2</v>
      </c>
    </row>
    <row r="7" spans="1:4" x14ac:dyDescent="0.25">
      <c r="B7">
        <v>2.0529999999999999</v>
      </c>
      <c r="C7">
        <v>1.9890000000000001</v>
      </c>
      <c r="D7">
        <v>24.6</v>
      </c>
    </row>
    <row r="8" spans="1:4" x14ac:dyDescent="0.25">
      <c r="B8">
        <v>2.0590000000000002</v>
      </c>
      <c r="C8">
        <v>1.994</v>
      </c>
      <c r="D8">
        <v>25.4</v>
      </c>
    </row>
    <row r="9" spans="1:4" x14ac:dyDescent="0.25">
      <c r="B9">
        <v>2.06</v>
      </c>
      <c r="C9">
        <v>1.9970000000000001</v>
      </c>
      <c r="D9">
        <v>25.6</v>
      </c>
    </row>
    <row r="10" spans="1:4" x14ac:dyDescent="0.25">
      <c r="B10">
        <v>2.0670000000000002</v>
      </c>
      <c r="C10">
        <v>2</v>
      </c>
      <c r="D10">
        <v>26.4</v>
      </c>
    </row>
    <row r="11" spans="1:4" x14ac:dyDescent="0.25">
      <c r="B11">
        <v>2.0699999999999998</v>
      </c>
      <c r="C11">
        <v>2.0070000000000001</v>
      </c>
      <c r="D11">
        <v>27.8</v>
      </c>
    </row>
    <row r="12" spans="1:4" x14ac:dyDescent="0.25">
      <c r="B12">
        <v>2.0790000000000002</v>
      </c>
      <c r="C12">
        <v>2.012</v>
      </c>
      <c r="D12">
        <v>28.8</v>
      </c>
    </row>
    <row r="13" spans="1:4" x14ac:dyDescent="0.25">
      <c r="B13">
        <v>2.0819999999999999</v>
      </c>
      <c r="C13">
        <v>2.0169999999999999</v>
      </c>
      <c r="D13">
        <v>30.2</v>
      </c>
    </row>
    <row r="14" spans="1:4" x14ac:dyDescent="0.25">
      <c r="B14">
        <v>2.0819999999999999</v>
      </c>
      <c r="C14">
        <v>2.0230000000000001</v>
      </c>
      <c r="D14">
        <v>30.6</v>
      </c>
    </row>
    <row r="15" spans="1:4" x14ac:dyDescent="0.25">
      <c r="B15">
        <v>2.089</v>
      </c>
      <c r="C15">
        <v>2.028</v>
      </c>
      <c r="D15">
        <v>31</v>
      </c>
    </row>
    <row r="16" spans="1:4" x14ac:dyDescent="0.25">
      <c r="B16">
        <v>2.09</v>
      </c>
      <c r="C16">
        <v>2.0289999999999999</v>
      </c>
      <c r="D16">
        <v>31.4</v>
      </c>
    </row>
    <row r="17" spans="2:4" x14ac:dyDescent="0.25">
      <c r="B17">
        <v>2.0939999999999999</v>
      </c>
      <c r="C17">
        <v>2.0339999999999998</v>
      </c>
      <c r="D17">
        <v>31.8</v>
      </c>
    </row>
    <row r="18" spans="2:4" x14ac:dyDescent="0.25">
      <c r="B18">
        <v>2.097</v>
      </c>
      <c r="C18">
        <v>2.036</v>
      </c>
      <c r="D18">
        <v>32.4</v>
      </c>
    </row>
    <row r="19" spans="2:4" x14ac:dyDescent="0.25">
      <c r="B19">
        <v>2.0979999999999999</v>
      </c>
      <c r="C19">
        <v>2.0379999999999998</v>
      </c>
      <c r="D19">
        <v>32.6</v>
      </c>
    </row>
    <row r="20" spans="2:4" x14ac:dyDescent="0.25">
      <c r="B20">
        <v>2.1</v>
      </c>
      <c r="C20">
        <v>2.04</v>
      </c>
      <c r="D20">
        <v>32.799999999999997</v>
      </c>
    </row>
    <row r="21" spans="2:4" x14ac:dyDescent="0.25">
      <c r="B21">
        <v>2.1030000000000002</v>
      </c>
      <c r="C21">
        <v>2.0419999999999998</v>
      </c>
      <c r="D21">
        <v>33.200000000000003</v>
      </c>
    </row>
    <row r="22" spans="2:4" x14ac:dyDescent="0.25">
      <c r="B22">
        <v>2.1059999999999999</v>
      </c>
      <c r="C22">
        <v>2.0470000000000002</v>
      </c>
      <c r="D22">
        <v>33.6</v>
      </c>
    </row>
    <row r="23" spans="2:4" x14ac:dyDescent="0.25">
      <c r="B23">
        <v>2.109</v>
      </c>
      <c r="C23">
        <v>2.048</v>
      </c>
      <c r="D23">
        <v>34.6</v>
      </c>
    </row>
    <row r="24" spans="2:4" x14ac:dyDescent="0.25">
      <c r="B24">
        <v>2.1080000000000001</v>
      </c>
      <c r="C24">
        <v>2.0510000000000002</v>
      </c>
      <c r="D24">
        <v>34.4</v>
      </c>
    </row>
    <row r="25" spans="2:4" x14ac:dyDescent="0.25">
      <c r="B25">
        <v>2.109</v>
      </c>
      <c r="C25">
        <v>2.0510000000000002</v>
      </c>
      <c r="D25">
        <v>34.799999999999997</v>
      </c>
    </row>
    <row r="28" spans="2:4" x14ac:dyDescent="0.25">
      <c r="B2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Jed</cp:lastModifiedBy>
  <dcterms:created xsi:type="dcterms:W3CDTF">2012-06-07T18:37:02Z</dcterms:created>
  <dcterms:modified xsi:type="dcterms:W3CDTF">2012-06-07T22:04:03Z</dcterms:modified>
</cp:coreProperties>
</file>